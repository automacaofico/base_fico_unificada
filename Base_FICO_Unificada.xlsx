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245" documentId="13_ncr:1_{6CEF5796-E217-4085-A8D4-219CBB0ACFF5}" xr6:coauthVersionLast="47" xr6:coauthVersionMax="47" xr10:uidLastSave="{B62B3E40-5CF8-42DE-B911-18371D944654}"/>
  <bookViews>
    <workbookView xWindow="-120" yWindow="-120" windowWidth="20730" windowHeight="11040" firstSheet="5" activeTab="5"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0" i="6" l="1"/>
  <c r="I40" i="6"/>
  <c r="K27" i="5" l="1"/>
  <c r="J26" i="5"/>
  <c r="D7" i="10"/>
  <c r="D6" i="10"/>
  <c r="D5" i="10"/>
  <c r="E4" i="8"/>
  <c r="E5" i="8"/>
  <c r="C6" i="8"/>
  <c r="E6" i="8" s="1"/>
  <c r="D6" i="8"/>
  <c r="E8" i="8"/>
  <c r="E9" i="8"/>
  <c r="C10" i="8"/>
  <c r="E10" i="8" s="1"/>
  <c r="D10" i="8"/>
  <c r="E12" i="8"/>
  <c r="E13" i="8"/>
  <c r="C14" i="8"/>
  <c r="E14" i="8" s="1"/>
  <c r="D14" i="8"/>
  <c r="M41" i="6" l="1"/>
  <c r="L41" i="6"/>
  <c r="N41" i="6" s="1"/>
  <c r="H41" i="6"/>
  <c r="E41" i="6"/>
  <c r="L40" i="6"/>
  <c r="H40" i="6"/>
  <c r="D40" i="6"/>
  <c r="M40" i="6"/>
  <c r="M39" i="6"/>
  <c r="L39" i="6"/>
  <c r="N39" i="6" s="1"/>
  <c r="H39" i="6"/>
  <c r="E39" i="6"/>
  <c r="M38" i="6"/>
  <c r="L38" i="6"/>
  <c r="N38" i="6" s="1"/>
  <c r="P38" i="6" s="1"/>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N40" i="6" l="1"/>
  <c r="O40" i="6" s="1"/>
  <c r="O37" i="6"/>
  <c r="P41" i="6"/>
  <c r="O41" i="6"/>
  <c r="O32" i="6"/>
  <c r="O34" i="6"/>
  <c r="O36"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P40" i="6" l="1"/>
  <c r="Q26" i="5"/>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B33" authorId="6"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<sst xmlns="http://schemas.openxmlformats.org/spreadsheetml/2006/main" count="47188" uniqueCount="4248">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</sst>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0">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5">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10" fontId="3" fillId="3" borderId="1" xfId="0" applyNumberFormat="1" applyFont="1" applyFill="1" applyBorder="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0" fontId="3" fillId="0" borderId="1" xfId="0" applyFont="1" applyFill="1" applyBorder="1" applyAlignment="1">
      <alignment horizontal="center" vertical="center"/>
    </xf>
    <xf numFmtId="0" fontId="15" fillId="0" borderId="1" xfId="0" applyFont="1" applyFill="1" applyBorder="1" applyAlignment="1">
      <alignment horizontal="center" vertical="center"/>
    </xf>
    <xf numFmtId="0" fontId="0" fillId="0" borderId="0" xfId="0" applyFill="1"/>
    <xf numFmtId="0" fontId="15" fillId="0" borderId="0" xfId="0" applyFont="1" applyFill="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6" t="s">
        <v>0</v>
      </c>
      <c r="B1" s="87"/>
      <c r="C1" s="87"/>
      <c r="D1" s="87"/>
      <c r="E1" s="87"/>
      <c r="F1" s="87"/>
      <c r="G1" s="87"/>
      <c r="H1" s="87"/>
      <c r="I1" s="87"/>
      <c r="J1" s="87"/>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H6" sqref="H6"/>
    </sheetView>
  </sheetViews>
  <sheetFormatPr defaultRowHeight="15" x14ac:dyDescent="0.25"/>
  <cols>
    <col min="1" max="1" width="28" customWidth="1"/>
    <col min="2" max="4" width="32" customWidth="1"/>
    <col min="8" max="8" width="9.85546875" bestFit="1" customWidth="1"/>
  </cols>
  <sheetData>
    <row r="1" spans="1:8" ht="24" customHeight="1" x14ac:dyDescent="0.25">
      <c r="A1" s="86" t="s">
        <v>66</v>
      </c>
      <c r="B1" s="87"/>
      <c r="C1" s="87"/>
      <c r="D1" s="87"/>
      <c r="E1" s="87"/>
      <c r="F1" s="87"/>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3"/>
    </row>
    <row r="14" spans="1:8" x14ac:dyDescent="0.25">
      <c r="A14" s="8" t="s">
        <v>98</v>
      </c>
      <c r="B14" s="5" t="s">
        <v>99</v>
      </c>
      <c r="C14" s="5" t="s">
        <v>100</v>
      </c>
      <c r="D14" s="82">
        <v>0.7006</v>
      </c>
    </row>
    <row r="15" spans="1:8" x14ac:dyDescent="0.25">
      <c r="A15" s="8" t="s">
        <v>101</v>
      </c>
      <c r="B15" s="5" t="s">
        <v>102</v>
      </c>
      <c r="C15" s="5" t="s">
        <v>103</v>
      </c>
      <c r="D15" s="82">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3" sqref="H13"/>
    </sheetView>
  </sheetViews>
  <sheetFormatPr defaultRowHeight="15" x14ac:dyDescent="0.25"/>
  <cols>
    <col min="1" max="1" width="36" customWidth="1"/>
    <col min="2" max="7" width="12" customWidth="1"/>
    <col min="8" max="8" width="42" customWidth="1"/>
  </cols>
  <sheetData>
    <row r="1" spans="1:10" ht="24" customHeight="1" x14ac:dyDescent="0.25">
      <c r="A1" s="86" t="s">
        <v>111</v>
      </c>
      <c r="B1" s="87"/>
      <c r="C1" s="87"/>
      <c r="D1" s="87"/>
      <c r="E1" s="87"/>
      <c r="F1" s="87"/>
      <c r="G1" s="87"/>
      <c r="H1" s="87"/>
      <c r="I1" s="87"/>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8" t="s">
        <v>116</v>
      </c>
      <c r="B6" s="87"/>
      <c r="C6" s="87"/>
      <c r="D6" s="87"/>
      <c r="E6" s="87"/>
      <c r="F6" s="87"/>
      <c r="G6" s="87"/>
      <c r="H6" s="87"/>
      <c r="I6" s="87"/>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8" t="s">
        <v>122</v>
      </c>
      <c r="B12" s="87"/>
      <c r="C12" s="87"/>
      <c r="D12" s="87"/>
      <c r="E12" s="87"/>
      <c r="F12" s="87"/>
      <c r="G12" s="87"/>
      <c r="H12" s="87"/>
      <c r="I12" s="87"/>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12" activePane="bottomRight" state="frozen"/>
      <selection pane="topRight"/>
      <selection pane="bottomLeft"/>
      <selection pane="bottomRight" activeCell="D20" sqref="D20"/>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6" t="s">
        <v>123</v>
      </c>
      <c r="B1" s="87"/>
      <c r="C1" s="87"/>
      <c r="D1" s="87"/>
      <c r="E1" s="87"/>
      <c r="F1" s="87"/>
      <c r="G1" s="87"/>
    </row>
    <row r="3" spans="1:10" ht="24" customHeight="1" x14ac:dyDescent="0.25">
      <c r="A3" s="89" t="s">
        <v>124</v>
      </c>
      <c r="B3" s="87"/>
      <c r="C3" s="87"/>
      <c r="D3" s="87"/>
      <c r="E3" s="87"/>
      <c r="F3" s="87"/>
      <c r="G3" s="87"/>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89" t="s">
        <v>155</v>
      </c>
      <c r="B13" s="87"/>
      <c r="C13" s="87"/>
      <c r="D13" s="87"/>
      <c r="E13" s="87"/>
      <c r="F13" s="87"/>
      <c r="G13" s="87"/>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89" t="s">
        <v>158</v>
      </c>
      <c r="B17" s="87"/>
      <c r="C17" s="87"/>
      <c r="D17" s="87"/>
      <c r="E17" s="87"/>
      <c r="F17" s="87"/>
      <c r="G17" s="87"/>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28" activePane="bottomRight" state="frozen"/>
      <selection pane="topRight"/>
      <selection pane="bottomLeft"/>
      <selection pane="bottomRight" activeCell="I40" sqref="I40"/>
    </sheetView>
  </sheetViews>
  <sheetFormatPr defaultRowHeight="15" x14ac:dyDescent="0.25"/>
  <cols>
    <col min="1" max="1" width="9" customWidth="1"/>
    <col min="2" max="2" width="30" customWidth="1"/>
    <col min="3" max="23" width="12" customWidth="1"/>
  </cols>
  <sheetData>
    <row r="1" spans="1:23" ht="24" customHeight="1" x14ac:dyDescent="0.25">
      <c r="A1" s="86" t="s">
        <v>175</v>
      </c>
      <c r="B1" s="87"/>
      <c r="C1" s="87"/>
      <c r="D1" s="87"/>
      <c r="E1" s="87"/>
      <c r="F1" s="87"/>
      <c r="G1" s="87"/>
      <c r="H1" s="87"/>
      <c r="I1" s="87"/>
      <c r="J1" s="87"/>
      <c r="K1" s="87"/>
      <c r="L1" s="87"/>
      <c r="M1" s="87"/>
      <c r="N1" s="87"/>
      <c r="O1" s="87"/>
      <c r="P1" s="87"/>
      <c r="Q1" s="87"/>
      <c r="R1" s="87"/>
      <c r="S1" s="87"/>
      <c r="T1" s="87"/>
      <c r="U1" s="87"/>
      <c r="V1" s="87"/>
      <c r="W1" s="87"/>
    </row>
    <row r="3" spans="1:23" ht="24" customHeight="1" x14ac:dyDescent="0.25">
      <c r="A3" s="88" t="s">
        <v>124</v>
      </c>
      <c r="B3" s="87"/>
      <c r="C3" s="87"/>
      <c r="D3" s="87"/>
      <c r="E3" s="87"/>
      <c r="F3" s="87"/>
      <c r="G3" s="87"/>
      <c r="H3" s="87"/>
      <c r="I3" s="87"/>
      <c r="J3" s="87"/>
      <c r="K3" s="87"/>
      <c r="L3" s="87"/>
      <c r="M3" s="87"/>
      <c r="N3" s="87"/>
      <c r="O3" s="87"/>
      <c r="P3" s="87"/>
      <c r="Q3" s="87"/>
      <c r="R3" s="87"/>
      <c r="S3" s="87"/>
      <c r="T3" s="87"/>
      <c r="U3" s="87"/>
      <c r="V3" s="87"/>
      <c r="W3" s="87"/>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8" t="s">
        <v>155</v>
      </c>
      <c r="B13" s="87"/>
      <c r="C13" s="87"/>
      <c r="D13" s="87"/>
      <c r="E13" s="87"/>
      <c r="F13" s="87"/>
      <c r="G13" s="87"/>
      <c r="H13" s="87"/>
      <c r="I13" s="87"/>
      <c r="J13" s="87"/>
      <c r="K13" s="87"/>
      <c r="L13" s="87"/>
      <c r="M13" s="87"/>
      <c r="N13" s="87"/>
      <c r="O13" s="87"/>
      <c r="P13" s="87"/>
      <c r="Q13" s="87"/>
      <c r="R13" s="87"/>
      <c r="S13" s="87"/>
      <c r="T13" s="87"/>
      <c r="U13" s="87"/>
      <c r="V13" s="87"/>
      <c r="W13" s="87"/>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8" t="s">
        <v>158</v>
      </c>
      <c r="B17" s="87"/>
      <c r="C17" s="87"/>
      <c r="D17" s="87"/>
      <c r="E17" s="87"/>
      <c r="F17" s="87"/>
      <c r="G17" s="87"/>
      <c r="H17" s="87"/>
      <c r="I17" s="87"/>
      <c r="J17" s="87"/>
      <c r="K17" s="87"/>
      <c r="L17" s="87"/>
      <c r="M17" s="87"/>
      <c r="N17" s="87"/>
      <c r="O17" s="87"/>
      <c r="P17" s="87"/>
      <c r="Q17" s="87"/>
      <c r="R17" s="87"/>
      <c r="S17" s="87"/>
      <c r="T17" s="87"/>
      <c r="U17" s="87"/>
      <c r="V17" s="87"/>
      <c r="W17" s="87"/>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91">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91">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91">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91">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91">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91">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91">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91">
        <f>1793.45+514.74</f>
        <v>2308.19</v>
      </c>
      <c r="K26" s="42">
        <v>1821.7</v>
      </c>
      <c r="L26" s="42">
        <v>1282.9000000000001</v>
      </c>
      <c r="M26" s="52">
        <f t="shared" si="12"/>
        <v>5412.7900000000009</v>
      </c>
      <c r="N26" s="52">
        <f t="shared" si="13"/>
        <v>0</v>
      </c>
      <c r="O26" s="54">
        <f t="shared" si="14"/>
        <v>6227.7900000000009</v>
      </c>
      <c r="P26" s="54">
        <f t="shared" si="15"/>
        <v>-6227.7900000000009</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91">
        <v>9390.61</v>
      </c>
      <c r="K27" s="42">
        <f>1168.26+326.14</f>
        <v>1494.4</v>
      </c>
      <c r="L27" s="42">
        <v>251.59</v>
      </c>
      <c r="M27" s="52">
        <f t="shared" si="12"/>
        <v>11136.6</v>
      </c>
      <c r="N27" s="52">
        <f t="shared" si="13"/>
        <v>0</v>
      </c>
      <c r="O27" s="54">
        <f t="shared" si="14"/>
        <v>11136.6</v>
      </c>
      <c r="P27" s="54">
        <f t="shared" si="15"/>
        <v>-11136.6</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91">
        <v>8213.0400000000009</v>
      </c>
      <c r="K28" s="42">
        <v>8237.7999999999993</v>
      </c>
      <c r="L28" s="42">
        <v>8482.27</v>
      </c>
      <c r="M28" s="52">
        <f t="shared" si="12"/>
        <v>24933.11</v>
      </c>
      <c r="N28" s="52">
        <f t="shared" si="13"/>
        <v>0</v>
      </c>
      <c r="O28" s="54">
        <f t="shared" si="14"/>
        <v>24933.11</v>
      </c>
      <c r="P28" s="54">
        <f t="shared" si="15"/>
        <v>-24933.11</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91">
        <v>0</v>
      </c>
      <c r="K29" s="42">
        <v>90</v>
      </c>
      <c r="L29" s="42">
        <v>0</v>
      </c>
      <c r="M29" s="52">
        <f t="shared" si="12"/>
        <v>90</v>
      </c>
      <c r="N29" s="52">
        <f t="shared" si="13"/>
        <v>0</v>
      </c>
      <c r="O29" s="54">
        <f t="shared" si="14"/>
        <v>90</v>
      </c>
      <c r="P29" s="54">
        <f t="shared" si="15"/>
        <v>-90</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91">
        <v>128.64000000000001</v>
      </c>
      <c r="K30" s="42">
        <v>136.53</v>
      </c>
      <c r="L30" s="42">
        <v>111.12</v>
      </c>
      <c r="M30" s="52">
        <f t="shared" si="12"/>
        <v>376.29</v>
      </c>
      <c r="N30" s="52">
        <f t="shared" si="13"/>
        <v>0</v>
      </c>
      <c r="O30" s="54">
        <f t="shared" si="14"/>
        <v>376.29</v>
      </c>
      <c r="P30" s="54">
        <f t="shared" si="15"/>
        <v>-376.29</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91">
        <v>0</v>
      </c>
      <c r="K31" s="42">
        <v>72.819999999999993</v>
      </c>
      <c r="L31" s="42">
        <v>110.22</v>
      </c>
      <c r="M31" s="52">
        <f t="shared" si="12"/>
        <v>183.04</v>
      </c>
      <c r="N31" s="52">
        <f t="shared" si="13"/>
        <v>0</v>
      </c>
      <c r="O31" s="54">
        <f t="shared" si="14"/>
        <v>183.04</v>
      </c>
      <c r="P31" s="54">
        <f t="shared" si="15"/>
        <v>-183.04</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9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s="93"/>
    </row>
    <row r="40" spans="1:23" x14ac:dyDescent="0.25">
      <c r="K40" s="94"/>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abSelected="1" topLeftCell="A27" workbookViewId="0">
      <selection activeCell="C37" sqref="C37"/>
    </sheetView>
  </sheetViews>
  <sheetFormatPr defaultRowHeight="15" x14ac:dyDescent="0.25"/>
  <cols>
    <col min="1" max="1" width="9" customWidth="1"/>
    <col min="2" max="2" width="30" customWidth="1"/>
    <col min="3" max="22" width="12" customWidth="1"/>
  </cols>
  <sheetData>
    <row r="1" spans="1:22" ht="24" customHeight="1" x14ac:dyDescent="0.25">
      <c r="A1" s="86" t="s">
        <v>228</v>
      </c>
      <c r="B1" s="87"/>
      <c r="C1" s="87"/>
      <c r="D1" s="87"/>
      <c r="E1" s="87"/>
      <c r="F1" s="87"/>
      <c r="G1" s="87"/>
      <c r="H1" s="87"/>
      <c r="I1" s="87"/>
      <c r="J1" s="87"/>
      <c r="K1" s="87"/>
      <c r="L1" s="87"/>
      <c r="M1" s="87"/>
      <c r="N1" s="87"/>
      <c r="O1" s="87"/>
      <c r="P1" s="87"/>
      <c r="Q1" s="87"/>
      <c r="R1" s="87"/>
      <c r="S1" s="87"/>
      <c r="T1" s="87"/>
      <c r="U1" s="87"/>
      <c r="V1" s="87"/>
    </row>
    <row r="3" spans="1:22" ht="24" customHeight="1" x14ac:dyDescent="0.25">
      <c r="A3" s="90" t="s">
        <v>229</v>
      </c>
      <c r="B3" s="87"/>
      <c r="C3" s="87"/>
      <c r="D3" s="87"/>
      <c r="E3" s="87"/>
      <c r="F3" s="87"/>
      <c r="G3" s="87"/>
      <c r="H3" s="87"/>
      <c r="I3" s="87"/>
      <c r="J3" s="87"/>
      <c r="K3" s="87"/>
      <c r="L3" s="87"/>
      <c r="M3" s="87"/>
      <c r="N3" s="87"/>
      <c r="O3" s="87"/>
      <c r="P3" s="87"/>
      <c r="Q3" s="87"/>
      <c r="R3" s="87"/>
      <c r="S3" s="87"/>
      <c r="T3" s="87"/>
      <c r="U3" s="87"/>
      <c r="V3" s="87"/>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0" t="s">
        <v>244</v>
      </c>
      <c r="B17" s="87"/>
      <c r="C17" s="87"/>
      <c r="D17" s="87"/>
      <c r="E17" s="87"/>
      <c r="F17" s="87"/>
      <c r="G17" s="87"/>
      <c r="H17" s="87"/>
      <c r="I17" s="87"/>
      <c r="J17" s="87"/>
      <c r="K17" s="87"/>
      <c r="L17" s="87"/>
      <c r="M17" s="87"/>
      <c r="N17" s="87"/>
      <c r="O17" s="87"/>
      <c r="P17" s="87"/>
      <c r="Q17" s="87"/>
      <c r="R17" s="87"/>
      <c r="S17" s="87"/>
      <c r="T17" s="87"/>
      <c r="U17" s="87"/>
      <c r="V17" s="87"/>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4234</v>
      </c>
    </row>
    <row r="26" spans="1:22" x14ac:dyDescent="0.25">
      <c r="A26" s="16" t="s">
        <v>84</v>
      </c>
      <c r="B26" s="42" t="s">
        <v>247</v>
      </c>
      <c r="C26" s="42">
        <v>459</v>
      </c>
      <c r="D26" s="42">
        <v>74</v>
      </c>
      <c r="E26" s="49">
        <f t="shared" si="0"/>
        <v>0.16122004357298475</v>
      </c>
      <c r="F26" s="60" t="s">
        <v>4234</v>
      </c>
    </row>
    <row r="27" spans="1:22" x14ac:dyDescent="0.25">
      <c r="A27" s="16" t="s">
        <v>84</v>
      </c>
      <c r="B27" s="42" t="s">
        <v>248</v>
      </c>
      <c r="C27" s="42" t="s">
        <v>213</v>
      </c>
      <c r="D27" s="42" t="s">
        <v>171</v>
      </c>
      <c r="E27" s="49">
        <f t="shared" si="0"/>
        <v>0</v>
      </c>
      <c r="F27" s="60" t="s">
        <v>4235</v>
      </c>
    </row>
    <row r="30" spans="1:22" ht="24" customHeight="1" x14ac:dyDescent="0.25">
      <c r="A30" s="90" t="s">
        <v>250</v>
      </c>
      <c r="B30" s="87"/>
      <c r="C30" s="87"/>
      <c r="D30" s="87"/>
      <c r="E30" s="87"/>
      <c r="F30" s="87"/>
      <c r="G30" s="87"/>
      <c r="H30" s="87"/>
      <c r="I30" s="87"/>
      <c r="J30" s="87"/>
      <c r="K30" s="87"/>
      <c r="L30" s="87"/>
      <c r="M30" s="87"/>
      <c r="N30" s="87"/>
      <c r="O30" s="87"/>
      <c r="P30" s="87"/>
      <c r="Q30" s="87"/>
      <c r="R30" s="87"/>
      <c r="S30" s="87"/>
      <c r="T30" s="87"/>
      <c r="U30" s="87"/>
      <c r="V30" s="87"/>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4">
        <v>23.19230769230769</v>
      </c>
      <c r="G32" s="5">
        <v>0</v>
      </c>
      <c r="H32" s="85">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4">
        <v>303.57692307692304</v>
      </c>
      <c r="G33" s="5">
        <v>47</v>
      </c>
      <c r="H33" s="85">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4">
        <v>13.846153846153845</v>
      </c>
      <c r="G34" s="5" t="s">
        <v>171</v>
      </c>
      <c r="H34" s="85">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4">
        <v>207.34615384615384</v>
      </c>
      <c r="G35" s="5">
        <v>0</v>
      </c>
      <c r="H35" s="85">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4">
        <v>33.230769230769234</v>
      </c>
      <c r="G36" s="5">
        <v>7</v>
      </c>
      <c r="H36" s="85">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4">
        <v>29.42307692307692</v>
      </c>
      <c r="G37" s="5" t="s">
        <v>171</v>
      </c>
      <c r="H37" s="85">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11</v>
      </c>
      <c r="E38" s="52">
        <f t="shared" si="7"/>
        <v>1</v>
      </c>
      <c r="F38" s="42" t="s">
        <v>254</v>
      </c>
      <c r="G38" s="42" t="s">
        <v>171</v>
      </c>
      <c r="H38" s="52">
        <f t="shared" si="1"/>
        <v>1</v>
      </c>
      <c r="I38" s="42">
        <v>1</v>
      </c>
      <c r="J38" s="42">
        <v>0</v>
      </c>
      <c r="K38" s="42">
        <v>0</v>
      </c>
      <c r="L38" s="52">
        <f t="shared" si="2"/>
        <v>1</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v>79</v>
      </c>
      <c r="D39" s="42">
        <v>11</v>
      </c>
      <c r="E39" s="52">
        <f t="shared" si="7"/>
        <v>68</v>
      </c>
      <c r="F39" s="42" t="s">
        <v>252</v>
      </c>
      <c r="G39" s="42" t="s">
        <v>255</v>
      </c>
      <c r="H39" s="52">
        <f t="shared" si="1"/>
        <v>13</v>
      </c>
      <c r="I39" s="42">
        <v>0</v>
      </c>
      <c r="J39" s="42">
        <v>0</v>
      </c>
      <c r="K39" s="42">
        <v>0</v>
      </c>
      <c r="L39" s="52">
        <f t="shared" si="2"/>
        <v>0</v>
      </c>
      <c r="M39" s="52">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379-C41</f>
        <v>370</v>
      </c>
      <c r="D40" s="42">
        <f>ROUNDUP(105*0.7,0)</f>
        <v>74</v>
      </c>
      <c r="E40" s="52">
        <f t="shared" si="7"/>
        <v>296</v>
      </c>
      <c r="F40" s="42">
        <v>327</v>
      </c>
      <c r="G40" s="42">
        <v>12</v>
      </c>
      <c r="H40" s="52">
        <f>F40-G40</f>
        <v>315</v>
      </c>
      <c r="I40" s="42">
        <f>40+20</f>
        <v>60</v>
      </c>
      <c r="J40" s="42">
        <v>24</v>
      </c>
      <c r="K40" s="42">
        <v>22</v>
      </c>
      <c r="L40" s="52">
        <f t="shared" si="2"/>
        <v>106</v>
      </c>
      <c r="M40" s="52">
        <f>C40</f>
        <v>370</v>
      </c>
      <c r="N40" s="52">
        <f>D40+G40+L40</f>
        <v>192</v>
      </c>
      <c r="O40" s="52">
        <f t="shared" si="5"/>
        <v>178</v>
      </c>
      <c r="P40" s="49">
        <f t="shared" si="6"/>
        <v>0.51891891891891895</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4236</v>
      </c>
    </row>
    <row r="44" spans="1:22" x14ac:dyDescent="0.25">
      <c r="J44" s="61" t="s">
        <v>4237</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6" t="s">
        <v>279</v>
      </c>
      <c r="B1" s="87"/>
      <c r="C1" s="87"/>
      <c r="D1" s="87"/>
      <c r="E1" s="87"/>
      <c r="F1" s="87"/>
      <c r="G1" s="87"/>
      <c r="H1" s="87"/>
      <c r="I1" s="87"/>
      <c r="J1" s="87"/>
      <c r="K1" s="87"/>
      <c r="L1" s="87"/>
      <c r="M1" s="87"/>
      <c r="N1" s="87"/>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6" t="s">
        <v>256</v>
      </c>
      <c r="B1" s="87"/>
      <c r="C1" s="87"/>
      <c r="D1" s="87"/>
      <c r="E1" s="87"/>
      <c r="F1" s="87"/>
      <c r="G1" s="87"/>
      <c r="H1" s="87"/>
    </row>
    <row r="3" spans="1:8" ht="24" customHeight="1" x14ac:dyDescent="0.25">
      <c r="A3" s="88" t="s">
        <v>257</v>
      </c>
      <c r="B3" s="87"/>
      <c r="C3" s="87"/>
      <c r="D3" s="87"/>
      <c r="E3" s="87"/>
      <c r="F3" s="87"/>
      <c r="G3" s="87"/>
      <c r="H3" s="87"/>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8" t="s">
        <v>266</v>
      </c>
      <c r="B11" s="87"/>
      <c r="C11" s="87"/>
      <c r="D11" s="87"/>
      <c r="E11" s="87"/>
      <c r="F11" s="87"/>
      <c r="G11" s="87"/>
      <c r="H11" s="87"/>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8" t="s">
        <v>272</v>
      </c>
      <c r="B19" s="87"/>
      <c r="C19" s="87"/>
      <c r="D19" s="87"/>
      <c r="E19" s="87"/>
      <c r="F19" s="87"/>
      <c r="G19" s="87"/>
      <c r="H19" s="87"/>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6" t="s">
        <v>297</v>
      </c>
      <c r="B1" s="87"/>
      <c r="C1" s="87"/>
      <c r="D1" s="87"/>
      <c r="E1" s="87"/>
      <c r="F1" s="87"/>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4238</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6" t="s">
        <v>328</v>
      </c>
      <c r="B1" s="87"/>
      <c r="C1" s="87"/>
      <c r="D1" s="87"/>
      <c r="E1" s="87"/>
    </row>
    <row r="3" spans="1:6" ht="24" customHeight="1" x14ac:dyDescent="0.25">
      <c r="A3" s="88" t="s">
        <v>329</v>
      </c>
      <c r="B3" s="87"/>
      <c r="C3" s="87"/>
      <c r="D3" s="87"/>
      <c r="E3" s="87"/>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8" t="s">
        <v>332</v>
      </c>
      <c r="B10" s="87"/>
      <c r="C10" s="87"/>
      <c r="D10" s="87"/>
      <c r="E10" s="87"/>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6" t="s">
        <v>346</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c r="BT1" s="87"/>
      <c r="BU1" s="87"/>
      <c r="BV1" s="87"/>
      <c r="BW1" s="87"/>
      <c r="BX1" s="87"/>
      <c r="BY1" s="87"/>
      <c r="BZ1" s="87"/>
      <c r="CA1" s="87"/>
      <c r="CB1" s="87"/>
      <c r="CC1" s="87"/>
      <c r="CD1" s="87"/>
      <c r="CE1" s="87"/>
      <c r="CF1" s="87"/>
      <c r="CG1" s="87"/>
      <c r="CH1" s="87"/>
      <c r="CI1" s="87"/>
      <c r="CJ1" s="87"/>
      <c r="CK1" s="87"/>
      <c r="CL1" s="87"/>
      <c r="CM1" s="87"/>
      <c r="CN1" s="87"/>
      <c r="CO1" s="87"/>
      <c r="CP1" s="87"/>
      <c r="CQ1" s="87"/>
      <c r="CR1" s="87"/>
      <c r="CS1" s="87"/>
      <c r="CT1" s="87"/>
      <c r="CU1" s="87"/>
      <c r="CV1" s="87"/>
      <c r="CW1" s="87"/>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4239</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6" t="s">
        <v>527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90" zoomScaleNormal="90" workbookViewId="0">
      <pane xSplit="1" ySplit="6" topLeftCell="B7" activePane="bottomRight" state="frozen"/>
      <selection pane="topRight"/>
      <selection pane="bottomLeft"/>
      <selection pane="bottomRight" activeCell="R10" sqref="R10"/>
    </sheetView>
  </sheetViews>
  <sheetFormatPr defaultRowHeight="15" x14ac:dyDescent="0.25"/>
  <cols>
    <col min="1" max="1" width="28" customWidth="1"/>
    <col min="2" max="69" width="3.42578125" customWidth="1"/>
  </cols>
  <sheetData>
    <row r="1" spans="1:71" ht="24" customHeight="1" x14ac:dyDescent="0.25">
      <c r="A1" s="86" t="s">
        <v>597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4240</v>
      </c>
      <c r="C27" s="75"/>
      <c r="D27" s="76"/>
      <c r="E27" s="77"/>
      <c r="O27" s="78" t="s">
        <v>4241</v>
      </c>
      <c r="Z27" s="78" t="s">
        <v>4242</v>
      </c>
      <c r="AI27" s="78"/>
      <c r="AQ27" s="78"/>
      <c r="BB27" s="78" t="s">
        <v>4243</v>
      </c>
      <c r="BI27" s="78" t="s">
        <v>4244</v>
      </c>
      <c r="BN27" s="78" t="s">
        <v>4243</v>
      </c>
      <c r="BQ27" s="78" t="s">
        <v>141</v>
      </c>
    </row>
    <row r="28" spans="1:70" ht="16.5" x14ac:dyDescent="0.3">
      <c r="B28" s="79"/>
      <c r="D28" s="77"/>
      <c r="E28" s="80"/>
      <c r="F28" s="81" t="s">
        <v>4245</v>
      </c>
      <c r="BB28" s="78" t="s">
        <v>4242</v>
      </c>
      <c r="BR28" s="78" t="s">
        <v>4247</v>
      </c>
    </row>
    <row r="29" spans="1:70" ht="16.5" x14ac:dyDescent="0.3">
      <c r="C29" s="77"/>
      <c r="D29" s="77"/>
      <c r="E29" s="80"/>
      <c r="I29" s="81" t="s">
        <v>4246</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schemas.microsoft.com/office/2006/documentManagement/types"/>
    <ds:schemaRef ds:uri="http://purl.org/dc/terms/"/>
    <ds:schemaRef ds:uri="http://purl.org/dc/elements/1.1/"/>
    <ds:schemaRef ds:uri="http://purl.org/dc/dcmitype/"/>
    <ds:schemaRef ds:uri="http://schemas.microsoft.com/sharepoint/v3"/>
    <ds:schemaRef ds:uri="http://schemas.microsoft.com/office/2006/metadata/properties"/>
    <ds:schemaRef ds:uri="http://schemas.microsoft.com/office/infopath/2007/PartnerControls"/>
    <ds:schemaRef ds:uri="http://www.w3.org/XML/1998/namespace"/>
    <ds:schemaRef ds:uri="http://schemas.openxmlformats.org/package/2006/metadata/core-properties"/>
    <ds:schemaRef ds:uri="442af37a-3796-4d85-82a9-7fed4a3d9bab"/>
    <ds:schemaRef ds:uri="b633a64c-250e-4f9b-b03e-91a68bc51404"/>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2026-07-06T22:05:54Z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